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sibility Study" sheetId="1" state="visible" r:id="rId3"/>
    <sheet name="Cost-Benefit Analysis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<sst xmlns="http://schemas.openxmlformats.org/spreadsheetml/2006/main" count="107" uniqueCount="96">
  <si>
    <t xml:space="preserve">Feasibility Study – E-commerce Product Review &amp; Rating System</t>
  </si>
  <si>
    <t xml:space="preserve">Course Project: System Analysis | Menoufia University | ENG: Eman Abdelroof</t>
  </si>
  <si>
    <t xml:space="preserve">Type</t>
  </si>
  <si>
    <t xml:space="preserve">Current Situation / Considerations</t>
  </si>
  <si>
    <t xml:space="preserve">Proposed Solution / Benefits</t>
  </si>
  <si>
    <t xml:space="preserve">Feasibility Result</t>
  </si>
  <si>
    <t xml:space="preserve">Technical</t>
  </si>
  <si>
    <t xml:space="preserve">No verified customer feedback on product pages; no automated way to filter spam/fake reviews; no analytics to spot low-quality products.</t>
  </si>
  <si>
    <t xml:space="preserve">React.js/HTML5/CSS3 front end; SQL Server or PostgreSQL relational database (users, products, orders, reviews); Python (Pandas, NLTK/TextBlob) for spam filtering and sentiment analysis; Tableau dashboards connected to the database; cloud-hosted.</t>
  </si>
  <si>
    <t xml:space="preserve">✅ Technically feasible</t>
  </si>
  <si>
    <t xml:space="preserve">Operational</t>
  </si>
  <si>
    <t xml:space="preserve">Customers doubt product quality; high cancellations and returns; managers cannot quickly identify low-quality products; support staff would be overloaded if all reviews were checked manually.</t>
  </si>
  <si>
    <t xml:space="preserve">Verified buyers only (linked to order database); automated moderation so support reviews flagged content only; Tableau dashboards for top/low-rated products; fast decisions such as removing defective inventory.</t>
  </si>
  <si>
    <t xml:space="preserve">✅ Operationally feasible</t>
  </si>
  <si>
    <t xml:space="preserve">Economic</t>
  </si>
  <si>
    <t xml:space="preserve">Cost of development, Tableau licenses, cloud hosting/storage for photos and videos, training, and maintenance.</t>
  </si>
  <si>
    <t xml:space="preserve">Built as an add-on module (no rebuild of the store); expected 15–20% increase in completed orders; fewer returns; low maintenance through automated Python scripts. See the Cost-Benefit Analysis sheet.</t>
  </si>
  <si>
    <t xml:space="preserve">✅ Cost-effective</t>
  </si>
  <si>
    <t xml:space="preserve">Legal</t>
  </si>
  <si>
    <t xml:space="preserve">Handling user accounts, order history and user-uploaded photos/videos; risk of defamatory or false reviews damaging store credibility.</t>
  </si>
  <si>
    <t xml:space="preserve">Privacy and security policy for user data (compliance with the applicable data-protection law, e.g. Egypt's Personal Data Protection Law); terms of use covering user-generated content and media rights; verified-buyer rule and report/removal process.</t>
  </si>
  <si>
    <t xml:space="preserve">✅ Legally feasible</t>
  </si>
  <si>
    <t xml:space="preserve">Schedule</t>
  </si>
  <si>
    <t xml:space="preserve">Deadline: before 1 January. Integration must not slow down website load speed.</t>
  </si>
  <si>
    <t xml:space="preserve">Phased plan: requirements → design → database &amp; back end → front end &amp; moderation → Tableau dashboards → testing → deployment, with a lean module scope to meet the deadline.</t>
  </si>
  <si>
    <t xml:space="preserve">✅ Achievable timeline (if scope stays focused)</t>
  </si>
  <si>
    <t xml:space="preserve">Cost–Benefit Analysis – E-commerce Product Review &amp; Rating System</t>
  </si>
  <si>
    <t xml:space="preserve">All amounts in USD. Cost figures are estimates (blue); benefit values are calculated from the Assumptions sheet.</t>
  </si>
  <si>
    <t xml:space="preserve">Category</t>
  </si>
  <si>
    <t xml:space="preserve">Description</t>
  </si>
  <si>
    <t xml:space="preserve">Estimated Cost – Low</t>
  </si>
  <si>
    <t xml:space="preserve">Estimated Cost – High</t>
  </si>
  <si>
    <t xml:space="preserve">Benefits</t>
  </si>
  <si>
    <t xml:space="preserve">Est. Value per Year – Low</t>
  </si>
  <si>
    <t xml:space="preserve">Est. Value per Year – High</t>
  </si>
  <si>
    <t xml:space="preserve">Software Development</t>
  </si>
  <si>
    <t xml:space="preserve">In-house development of the review module: React front end, SQL database, review/rating/media upload, Python moderation scripts</t>
  </si>
  <si>
    <t xml:space="preserve">Verified-buyer reviews, ratings and photos build trust and lift completed orders.</t>
  </si>
  <si>
    <t xml:space="preserve">Analytics (Tableau)</t>
  </si>
  <si>
    <t xml:space="preserve">Tableau licences and dashboards connected to the SQL database</t>
  </si>
  <si>
    <t xml:space="preserve">Managers spot top/low-rated products quickly and remove defective stock.</t>
  </si>
  <si>
    <t xml:space="preserve">Cloud Hosting &amp; Storage</t>
  </si>
  <si>
    <t xml:space="preserve">Cloud servers, database and storage for customer photos/videos</t>
  </si>
  <si>
    <t xml:space="preserve">Scalable, runs separately so site load speed is not affected.</t>
  </si>
  <si>
    <t xml:space="preserve">Intangible</t>
  </si>
  <si>
    <t xml:space="preserve">Training</t>
  </si>
  <si>
    <t xml:space="preserve">Short training for store managers and support staff on dashboards and flagged-content review</t>
  </si>
  <si>
    <t xml:space="preserve">Smooth adoption and efficient use of the system.</t>
  </si>
  <si>
    <t xml:space="preserve">Maintenance</t>
  </si>
  <si>
    <t xml:space="preserve">Updates, bug fixes, monitoring of spam/sentiment scripts</t>
  </si>
  <si>
    <t xml:space="preserve">Reliable and secure system with low computational overhead.</t>
  </si>
  <si>
    <t xml:space="preserve">Moderation</t>
  </si>
  <si>
    <t xml:space="preserve">Support team time to review only the content flagged by the filters</t>
  </si>
  <si>
    <t xml:space="preserve">Automated NLP filters replace manual checking of every review.</t>
  </si>
  <si>
    <t xml:space="preserve">Returns &amp; Cancellations</t>
  </si>
  <si>
    <t xml:space="preserve">Current cost of returned and cancelled orders</t>
  </si>
  <si>
    <t xml:space="preserve">–</t>
  </si>
  <si>
    <t xml:space="preserve">Accurate ratings and buyer photos set correct expectations.</t>
  </si>
  <si>
    <t xml:space="preserve">Customer Trust &amp; Brand Loyalty</t>
  </si>
  <si>
    <t xml:space="preserve">Doubt about quality and fake reviews damage credibility</t>
  </si>
  <si>
    <t xml:space="preserve">Genuine verified feedback improves trust, engagement and repeat purchases.</t>
  </si>
  <si>
    <t xml:space="preserve">Intangible but high value</t>
  </si>
  <si>
    <t xml:space="preserve">TOTAL</t>
  </si>
  <si>
    <t xml:space="preserve">Summary</t>
  </si>
  <si>
    <t xml:space="preserve">Item</t>
  </si>
  <si>
    <t xml:space="preserve">Low estimate</t>
  </si>
  <si>
    <t xml:space="preserve">High estimate</t>
  </si>
  <si>
    <t xml:space="preserve">Total Estimated Costs (first year)</t>
  </si>
  <si>
    <t xml:space="preserve">Total Estimated Annual Benefits / Savings</t>
  </si>
  <si>
    <t xml:space="preserve">Net Annual Benefit</t>
  </si>
  <si>
    <t xml:space="preserve">Payback Period (months)</t>
  </si>
  <si>
    <t xml:space="preserve">Assumptions (edit the yellow cells)</t>
  </si>
  <si>
    <t xml:space="preserve">Blue = input. Yellow = replace with your real store figures. Everything in the Cost-Benefit sheet recalculates from here.</t>
  </si>
  <si>
    <t xml:space="preserve">Assumption</t>
  </si>
  <si>
    <t xml:space="preserve">Value</t>
  </si>
  <si>
    <t xml:space="preserve">Source / Note</t>
  </si>
  <si>
    <t xml:space="preserve">Annual online sales (USD)</t>
  </si>
  <si>
    <t xml:space="preserve">PLACEHOLDER – replace with the store's real annual sales.</t>
  </si>
  <si>
    <t xml:space="preserve">Order conversion uplift – low</t>
  </si>
  <si>
    <t xml:space="preserve">From project brief: 15–20% increase in completed checkout orders.</t>
  </si>
  <si>
    <t xml:space="preserve">Order conversion uplift – high</t>
  </si>
  <si>
    <t xml:space="preserve">From project brief.</t>
  </si>
  <si>
    <t xml:space="preserve">Average profit margin on sales</t>
  </si>
  <si>
    <t xml:space="preserve">Assumption – replace with real margin.</t>
  </si>
  <si>
    <t xml:space="preserve">Annual cost of returns &amp; cancellations (USD)</t>
  </si>
  <si>
    <t xml:space="preserve">PLACEHOLDER – replace with the store's real figure.</t>
  </si>
  <si>
    <t xml:space="preserve">Reduction in returns – low</t>
  </si>
  <si>
    <t xml:space="preserve">Assumption: accurate ratings and buyer photos set better expectations.</t>
  </si>
  <si>
    <t xml:space="preserve">Reduction in returns – high</t>
  </si>
  <si>
    <t xml:space="preserve">Assumption.</t>
  </si>
  <si>
    <t xml:space="preserve">Moderation labour saved per year – low (USD)</t>
  </si>
  <si>
    <t xml:space="preserve">Assumption: automated filtering instead of manual review of all reviews.</t>
  </si>
  <si>
    <t xml:space="preserve">Moderation labour saved per year – high (USD)</t>
  </si>
  <si>
    <t xml:space="preserve">Quality-control savings per year – low (USD)</t>
  </si>
  <si>
    <t xml:space="preserve">Assumption: faster removal of defective/low-rated stock.</t>
  </si>
  <si>
    <t xml:space="preserve">Quality-control savings per year – high (USD)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</si>
</sst>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\$#,##0"/>
    <numFmt numFmtId="167" formatCode="0.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65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05" hidden="false" customHeight="tru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105" hidden="false" customHeight="true" outlineLevel="0" collapsed="false">
      <c r="A6" s="4" t="s">
        <v>10</v>
      </c>
      <c r="B6" s="5" t="s">
        <v>11</v>
      </c>
      <c r="C6" s="5" t="s">
        <v>12</v>
      </c>
      <c r="D6" s="5" t="s">
        <v>13</v>
      </c>
    </row>
    <row r="7" customFormat="false" ht="105" hidden="false" customHeight="true" outlineLevel="0" collapsed="false">
      <c r="A7" s="4" t="s">
        <v>14</v>
      </c>
      <c r="B7" s="5" t="s">
        <v>15</v>
      </c>
      <c r="C7" s="5" t="s">
        <v>16</v>
      </c>
      <c r="D7" s="5" t="s">
        <v>17</v>
      </c>
    </row>
    <row r="8" customFormat="false" ht="105" hidden="false" customHeight="true" outlineLevel="0" collapsed="false">
      <c r="A8" s="4" t="s">
        <v>18</v>
      </c>
      <c r="B8" s="5" t="s">
        <v>19</v>
      </c>
      <c r="C8" s="5" t="s">
        <v>20</v>
      </c>
      <c r="D8" s="5" t="s">
        <v>21</v>
      </c>
    </row>
    <row r="9" customFormat="false" ht="105" hidden="false" customHeight="true" outlineLevel="0" collapsed="false">
      <c r="A9" s="4" t="s">
        <v>22</v>
      </c>
      <c r="B9" s="5" t="s">
        <v>23</v>
      </c>
      <c r="C9" s="5" t="s">
        <v>24</v>
      </c>
      <c r="D9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50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26.8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</row>
    <row r="5" customFormat="false" ht="48" hidden="false" customHeight="true" outlineLevel="0" collapsed="false">
      <c r="A5" s="4" t="s">
        <v>35</v>
      </c>
      <c r="B5" s="5" t="s">
        <v>36</v>
      </c>
      <c r="C5" s="6" t="n">
        <v>3000</v>
      </c>
      <c r="D5" s="6" t="n">
        <v>6000</v>
      </c>
      <c r="E5" s="5" t="s">
        <v>37</v>
      </c>
      <c r="F5" s="7" t="n">
        <f aca="false">Assumptions!$B$5*Assumptions!$B$6*Assumptions!$B$8</f>
        <v>6000</v>
      </c>
      <c r="G5" s="7" t="n">
        <f aca="false">Assumptions!$B$5*Assumptions!$B$7*Assumptions!$B$8</f>
        <v>8000</v>
      </c>
    </row>
    <row r="6" customFormat="false" ht="48" hidden="false" customHeight="true" outlineLevel="0" collapsed="false">
      <c r="A6" s="4" t="s">
        <v>38</v>
      </c>
      <c r="B6" s="5" t="s">
        <v>39</v>
      </c>
      <c r="C6" s="6" t="n">
        <v>900</v>
      </c>
      <c r="D6" s="6" t="n">
        <v>1800</v>
      </c>
      <c r="E6" s="5" t="s">
        <v>40</v>
      </c>
      <c r="F6" s="7" t="n">
        <f aca="false">Assumptions!$B$14</f>
        <v>1000</v>
      </c>
      <c r="G6" s="7" t="n">
        <f aca="false">Assumptions!$B$15</f>
        <v>2000</v>
      </c>
    </row>
    <row r="7" customFormat="false" ht="48" hidden="false" customHeight="true" outlineLevel="0" collapsed="false">
      <c r="A7" s="4" t="s">
        <v>41</v>
      </c>
      <c r="B7" s="5" t="s">
        <v>42</v>
      </c>
      <c r="C7" s="6" t="n">
        <v>600</v>
      </c>
      <c r="D7" s="6" t="n">
        <v>1500</v>
      </c>
      <c r="E7" s="5" t="s">
        <v>43</v>
      </c>
      <c r="F7" s="8" t="s">
        <v>44</v>
      </c>
      <c r="G7" s="8" t="s">
        <v>44</v>
      </c>
    </row>
    <row r="8" customFormat="false" ht="48" hidden="false" customHeight="true" outlineLevel="0" collapsed="false">
      <c r="A8" s="4" t="s">
        <v>45</v>
      </c>
      <c r="B8" s="5" t="s">
        <v>46</v>
      </c>
      <c r="C8" s="6" t="n">
        <v>300</v>
      </c>
      <c r="D8" s="6" t="n">
        <v>800</v>
      </c>
      <c r="E8" s="5" t="s">
        <v>47</v>
      </c>
      <c r="F8" s="8" t="s">
        <v>44</v>
      </c>
      <c r="G8" s="8" t="s">
        <v>44</v>
      </c>
    </row>
    <row r="9" customFormat="false" ht="48" hidden="false" customHeight="true" outlineLevel="0" collapsed="false">
      <c r="A9" s="4" t="s">
        <v>48</v>
      </c>
      <c r="B9" s="5" t="s">
        <v>49</v>
      </c>
      <c r="C9" s="6" t="n">
        <v>800</v>
      </c>
      <c r="D9" s="6" t="n">
        <v>1500</v>
      </c>
      <c r="E9" s="5" t="s">
        <v>50</v>
      </c>
      <c r="F9" s="8" t="s">
        <v>44</v>
      </c>
      <c r="G9" s="8" t="s">
        <v>44</v>
      </c>
    </row>
    <row r="10" customFormat="false" ht="48" hidden="false" customHeight="true" outlineLevel="0" collapsed="false">
      <c r="A10" s="4" t="s">
        <v>51</v>
      </c>
      <c r="B10" s="5" t="s">
        <v>52</v>
      </c>
      <c r="C10" s="6" t="n">
        <v>500</v>
      </c>
      <c r="D10" s="6" t="n">
        <v>1000</v>
      </c>
      <c r="E10" s="5" t="s">
        <v>53</v>
      </c>
      <c r="F10" s="7" t="n">
        <f aca="false">Assumptions!$B$12</f>
        <v>1500</v>
      </c>
      <c r="G10" s="7" t="n">
        <f aca="false">Assumptions!$B$13</f>
        <v>2500</v>
      </c>
    </row>
    <row r="11" customFormat="false" ht="48" hidden="false" customHeight="true" outlineLevel="0" collapsed="false">
      <c r="A11" s="4" t="s">
        <v>54</v>
      </c>
      <c r="B11" s="5" t="s">
        <v>55</v>
      </c>
      <c r="C11" s="8" t="s">
        <v>56</v>
      </c>
      <c r="D11" s="8" t="s">
        <v>56</v>
      </c>
      <c r="E11" s="5" t="s">
        <v>57</v>
      </c>
      <c r="F11" s="7" t="n">
        <f aca="false">Assumptions!$B$9*Assumptions!$B$10</f>
        <v>2000</v>
      </c>
      <c r="G11" s="7" t="n">
        <f aca="false">Assumptions!$B$9*Assumptions!$B$11</f>
        <v>3000</v>
      </c>
    </row>
    <row r="12" customFormat="false" ht="48" hidden="false" customHeight="true" outlineLevel="0" collapsed="false">
      <c r="A12" s="4" t="s">
        <v>58</v>
      </c>
      <c r="B12" s="5" t="s">
        <v>59</v>
      </c>
      <c r="C12" s="8" t="s">
        <v>56</v>
      </c>
      <c r="D12" s="8" t="s">
        <v>56</v>
      </c>
      <c r="E12" s="5" t="s">
        <v>60</v>
      </c>
      <c r="F12" s="8" t="s">
        <v>61</v>
      </c>
      <c r="G12" s="8" t="s">
        <v>61</v>
      </c>
    </row>
    <row r="13" customFormat="false" ht="15" hidden="false" customHeight="false" outlineLevel="0" collapsed="false">
      <c r="A13" s="9" t="s">
        <v>62</v>
      </c>
      <c r="B13" s="9"/>
      <c r="C13" s="10" t="n">
        <f aca="false">SUM(C5:C12)</f>
        <v>6100</v>
      </c>
      <c r="D13" s="10" t="n">
        <f aca="false">SUM(D5:D12)</f>
        <v>12600</v>
      </c>
      <c r="E13" s="9"/>
      <c r="F13" s="10" t="n">
        <f aca="false">SUM(F5:F12)</f>
        <v>10500</v>
      </c>
      <c r="G13" s="10" t="n">
        <f aca="false">SUM(G5:G12)</f>
        <v>15500</v>
      </c>
    </row>
    <row r="15" customFormat="false" ht="15" hidden="false" customHeight="false" outlineLevel="0" collapsed="false">
      <c r="A15" s="11" t="s">
        <v>63</v>
      </c>
    </row>
    <row r="16" customFormat="false" ht="15" hidden="false" customHeight="false" outlineLevel="0" collapsed="false">
      <c r="A16" s="3" t="s">
        <v>64</v>
      </c>
      <c r="B16" s="3"/>
      <c r="C16" s="3" t="s">
        <v>65</v>
      </c>
      <c r="D16" s="3" t="s">
        <v>66</v>
      </c>
    </row>
    <row r="17" customFormat="false" ht="26.85" hidden="false" customHeight="false" outlineLevel="0" collapsed="false">
      <c r="A17" s="4" t="s">
        <v>67</v>
      </c>
      <c r="B17" s="5"/>
      <c r="C17" s="12" t="n">
        <f aca="false">C13</f>
        <v>6100</v>
      </c>
      <c r="D17" s="12" t="n">
        <f aca="false">D13</f>
        <v>12600</v>
      </c>
    </row>
    <row r="18" customFormat="false" ht="26.85" hidden="false" customHeight="false" outlineLevel="0" collapsed="false">
      <c r="A18" s="4" t="s">
        <v>68</v>
      </c>
      <c r="B18" s="5"/>
      <c r="C18" s="12" t="n">
        <f aca="false">F13</f>
        <v>10500</v>
      </c>
      <c r="D18" s="12" t="n">
        <f aca="false">G13</f>
        <v>15500</v>
      </c>
    </row>
    <row r="19" customFormat="false" ht="15" hidden="false" customHeight="false" outlineLevel="0" collapsed="false">
      <c r="A19" s="4" t="s">
        <v>69</v>
      </c>
      <c r="B19" s="5"/>
      <c r="C19" s="13" t="n">
        <f aca="false">C18-C17</f>
        <v>4400</v>
      </c>
      <c r="D19" s="13" t="n">
        <f aca="false">D18-D17</f>
        <v>2900</v>
      </c>
    </row>
    <row r="20" customFormat="false" ht="15" hidden="false" customHeight="false" outlineLevel="0" collapsed="false">
      <c r="A20" s="4" t="s">
        <v>70</v>
      </c>
      <c r="B20" s="5"/>
      <c r="C20" s="14" t="n">
        <f aca="false">IF(C18&gt;0,C17/C18*12,"n/a")</f>
        <v>6.97142857142857</v>
      </c>
      <c r="D20" s="14" t="n">
        <f aca="false">IF(D18&gt;0,D17/D18*12,"n/a")</f>
        <v>9.75483870967742</v>
      </c>
    </row>
    <row r="22" customFormat="false" ht="36" hidden="false" customHeight="true" outlineLevel="0" collapsed="false">
      <c r="A22" s="15" t="str">
        <f aca="false">IF(MAX(C20,D20)&lt;=12,"Conclusion: The Review &amp; Rating System is economically feasible, with payback within 1 year and clear long-term value (trust, loyalty, quality control).","Conclusion: Payback exceeds 1 year in at least one scenario – review costs and assumptions.")</f>
        <v>Conclusion: The Review &amp; Rating System is economically feasible, with payback within 1 year and clear long-term value (trust, loyalty, quality control).</v>
      </c>
      <c r="B22" s="15"/>
      <c r="C22" s="15"/>
      <c r="D22" s="15"/>
      <c r="E22" s="15"/>
      <c r="F22" s="15"/>
      <c r="G22" s="15"/>
    </row>
  </sheetData>
  <mergeCells count="1"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3" t="s">
        <v>73</v>
      </c>
      <c r="B4" s="3" t="s">
        <v>74</v>
      </c>
      <c r="C4" s="3" t="s">
        <v>75</v>
      </c>
    </row>
    <row r="5" customFormat="false" ht="15" hidden="false" customHeight="false" outlineLevel="0" collapsed="false">
      <c r="A5" s="5" t="s">
        <v>76</v>
      </c>
      <c r="B5" s="16" t="n">
        <v>200000</v>
      </c>
      <c r="C5" s="5" t="s">
        <v>77</v>
      </c>
    </row>
    <row r="6" customFormat="false" ht="15" hidden="false" customHeight="false" outlineLevel="0" collapsed="false">
      <c r="A6" s="5" t="s">
        <v>78</v>
      </c>
      <c r="B6" s="17" t="n">
        <v>0.15</v>
      </c>
      <c r="C6" s="5" t="s">
        <v>79</v>
      </c>
    </row>
    <row r="7" customFormat="false" ht="15" hidden="false" customHeight="false" outlineLevel="0" collapsed="false">
      <c r="A7" s="5" t="s">
        <v>80</v>
      </c>
      <c r="B7" s="17" t="n">
        <v>0.2</v>
      </c>
      <c r="C7" s="5" t="s">
        <v>81</v>
      </c>
    </row>
    <row r="8" customFormat="false" ht="15" hidden="false" customHeight="false" outlineLevel="0" collapsed="false">
      <c r="A8" s="5" t="s">
        <v>82</v>
      </c>
      <c r="B8" s="18" t="n">
        <v>0.2</v>
      </c>
      <c r="C8" s="5" t="s">
        <v>83</v>
      </c>
    </row>
    <row r="9" customFormat="false" ht="15" hidden="false" customHeight="false" outlineLevel="0" collapsed="false">
      <c r="A9" s="5" t="s">
        <v>84</v>
      </c>
      <c r="B9" s="16" t="n">
        <v>10000</v>
      </c>
      <c r="C9" s="5" t="s">
        <v>85</v>
      </c>
    </row>
    <row r="10" customFormat="false" ht="15" hidden="false" customHeight="false" outlineLevel="0" collapsed="false">
      <c r="A10" s="5" t="s">
        <v>86</v>
      </c>
      <c r="B10" s="17" t="n">
        <v>0.2</v>
      </c>
      <c r="C10" s="5" t="s">
        <v>87</v>
      </c>
    </row>
    <row r="11" customFormat="false" ht="15" hidden="false" customHeight="false" outlineLevel="0" collapsed="false">
      <c r="A11" s="5" t="s">
        <v>88</v>
      </c>
      <c r="B11" s="17" t="n">
        <v>0.3</v>
      </c>
      <c r="C11" s="5" t="s">
        <v>89</v>
      </c>
    </row>
    <row r="12" customFormat="false" ht="15" hidden="false" customHeight="false" outlineLevel="0" collapsed="false">
      <c r="A12" s="5" t="s">
        <v>90</v>
      </c>
      <c r="B12" s="19" t="n">
        <v>1500</v>
      </c>
      <c r="C12" s="5" t="s">
        <v>91</v>
      </c>
    </row>
    <row r="13" customFormat="false" ht="15" hidden="false" customHeight="false" outlineLevel="0" collapsed="false">
      <c r="A13" s="5" t="s">
        <v>92</v>
      </c>
      <c r="B13" s="19" t="n">
        <v>2500</v>
      </c>
      <c r="C13" s="5" t="s">
        <v>89</v>
      </c>
    </row>
    <row r="14" customFormat="false" ht="15" hidden="false" customHeight="false" outlineLevel="0" collapsed="false">
      <c r="A14" s="5" t="s">
        <v>93</v>
      </c>
      <c r="B14" s="19" t="n">
        <v>1000</v>
      </c>
      <c r="C14" s="5" t="s">
        <v>94</v>
      </c>
    </row>
    <row r="15" customFormat="false" ht="15" hidden="false" customHeight="false" outlineLevel="0" collapsed="false">
      <c r="A15" s="5" t="s">
        <v>95</v>
      </c>
      <c r="B15" s="19" t="n">
        <v>2000</v>
      </c>
      <c r="C15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2026-10-04T09:03:23Z</dcterms:created>
  <dc:creator>openpyxl</dc:creator>
  <dc:description/>
  <dc:language>en-US</dc:language>
  <cp:lastModifiedBy/>
  <dcterms:modified xsi:type="dcterms:W3CDTF">2026-10-04T09:03:23Z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